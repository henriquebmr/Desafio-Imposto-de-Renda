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Deducoes" sheetId="3" state="visible" r:id="rId3"/>
    <sheet xmlns:r="http://schemas.openxmlformats.org/officeDocument/2006/relationships" name="Bens_e_Direitos" sheetId="4" state="visible" r:id="rId4"/>
    <sheet xmlns:r="http://schemas.openxmlformats.org/officeDocument/2006/relationships" name="Categorias_Apo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6"/>
    </font>
    <font>
      <name val="Calibri"/>
      <sz val="11"/>
    </font>
    <font>
      <name val="Calibri"/>
      <i val="1"/>
      <color rgb="00595959"/>
      <sz val="11"/>
    </font>
    <font>
      <name val="Calibri"/>
      <b val="1"/>
      <color rgb="001F497D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DF2F8"/>
        <bgColor rgb="00EDF2F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6" fillId="4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164" fontId="6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15" customWidth="1" min="4" max="4"/>
    <col width="24" customWidth="1" min="5" max="5"/>
    <col width="34" customWidth="1" min="6" max="6"/>
    <col width="22" customWidth="1" min="7" max="7"/>
    <col width="18" customWidth="1" min="8" max="8"/>
    <col width="12" customWidth="1" min="9" max="9"/>
  </cols>
  <sheetData>
    <row r="1">
      <c r="A1" s="1" t="inlineStr">
        <is>
          <t>PAINEL DE CONTROLE - IMPOSTO DE RENDA</t>
        </is>
      </c>
    </row>
    <row r="2">
      <c r="A2" s="2" t="inlineStr">
        <is>
          <t>Organizador Inteligente para Declaração de Ajuste Anual</t>
        </is>
      </c>
    </row>
    <row r="3"/>
    <row r="4">
      <c r="B4" s="3" t="inlineStr">
        <is>
          <t>TOTAL RENDIMENTOS BRUTOS</t>
        </is>
      </c>
      <c r="E4" s="3" t="inlineStr">
        <is>
          <t>TOTAL DEDUÇÕES INFORMADAS</t>
        </is>
      </c>
      <c r="H4" s="3" t="inlineStr">
        <is>
          <t>TOTAL IRRF RETIDO</t>
        </is>
      </c>
    </row>
    <row r="5">
      <c r="B5" s="4">
        <f>SUM(Rendimentos!E4:E25)</f>
        <v/>
      </c>
      <c r="E5" s="4">
        <f>SUM(Deducoes!F4:F25)</f>
        <v/>
      </c>
      <c r="H5" s="4">
        <f>SUM(Rendimentos!F4:F25)</f>
        <v/>
      </c>
    </row>
    <row r="6"/>
    <row r="7"/>
    <row r="8">
      <c r="B8" s="5" t="inlineStr">
        <is>
          <t>RESUMO POR TIPO DE RENDIMENTO</t>
        </is>
      </c>
      <c r="F8" s="5" t="inlineStr">
        <is>
          <t>RESUMO DE DEDUÇÕES POR CATEGORIA</t>
        </is>
      </c>
    </row>
    <row r="9">
      <c r="B9" s="6" t="inlineStr">
        <is>
          <t>Tipo</t>
        </is>
      </c>
      <c r="C9" s="6" t="inlineStr">
        <is>
          <t>Valor Total (R$)</t>
        </is>
      </c>
      <c r="D9" s="6" t="inlineStr">
        <is>
          <t>% do Total</t>
        </is>
      </c>
      <c r="F9" s="6" t="inlineStr">
        <is>
          <t>Categoria</t>
        </is>
      </c>
      <c r="G9" s="6" t="inlineStr">
        <is>
          <t>Valor Total (R$)</t>
        </is>
      </c>
      <c r="H9" s="6" t="inlineStr">
        <is>
          <t>% das Deduções</t>
        </is>
      </c>
    </row>
    <row r="10">
      <c r="B10" s="7" t="inlineStr">
        <is>
          <t>Rendimento Tributável (Salário, Pro-labore, Aluguel)</t>
        </is>
      </c>
      <c r="C10" s="8">
        <f>SUMIF(Rendimentos!D$4:D$25, B10, Rendimentos!E$4:E$25)</f>
        <v/>
      </c>
      <c r="D10" s="9">
        <f>IF($B$5&gt;0, C10/$B$5, 0)</f>
        <v/>
      </c>
      <c r="F10" s="7" t="inlineStr">
        <is>
          <t>Despesas Médicas</t>
        </is>
      </c>
      <c r="G10" s="8">
        <f>SUMIF(Deducoes!D$4:D$25, F10, Deducoes!F$4:F$25)</f>
        <v/>
      </c>
      <c r="H10" s="9">
        <f>IF($E$5&gt;0, G10/$E$5, 0)</f>
        <v/>
      </c>
    </row>
    <row r="11">
      <c r="B11" s="7" t="inlineStr">
        <is>
          <t>Rendimento Isento / Não Tributável (Lucros, Dividendos, Poupança)</t>
        </is>
      </c>
      <c r="C11" s="8">
        <f>SUMIF(Rendimentos!D$4:D$25, B11, Rendimentos!E$4:E$25)</f>
        <v/>
      </c>
      <c r="D11" s="9">
        <f>IF($B$5&gt;0, C11/$B$5, 0)</f>
        <v/>
      </c>
      <c r="F11" s="7" t="inlineStr">
        <is>
          <t>Instrução / Educação</t>
        </is>
      </c>
      <c r="G11" s="8">
        <f>SUMIF(Deducoes!D$4:D$25, F11, Deducoes!F$4:F$25)</f>
        <v/>
      </c>
      <c r="H11" s="9">
        <f>IF($E$5&gt;0, G11/$E$5, 0)</f>
        <v/>
      </c>
    </row>
    <row r="12">
      <c r="B12" s="7" t="inlineStr">
        <is>
          <t>Tributação Exclusiva / Definitiva (13º Salário, PLR, Rend. Aplicações)</t>
        </is>
      </c>
      <c r="C12" s="8">
        <f>SUMIF(Rendimentos!D$4:D$25, B12, Rendimentos!E$4:E$25)</f>
        <v/>
      </c>
      <c r="D12" s="9">
        <f>IF($B$5&gt;0, C12/$B$5, 0)</f>
        <v/>
      </c>
      <c r="F12" s="7" t="inlineStr">
        <is>
          <t>Previdência Privada (PGBL)</t>
        </is>
      </c>
      <c r="G12" s="8">
        <f>SUMIF(Deducoes!D$4:D$25, F12, Deducoes!F$4:F$25)</f>
        <v/>
      </c>
      <c r="H12" s="9">
        <f>IF($E$5&gt;0, G12/$E$5, 0)</f>
        <v/>
      </c>
    </row>
    <row r="13">
      <c r="F13" s="7" t="inlineStr">
        <is>
          <t>Pensão Alimentícia Judicial</t>
        </is>
      </c>
      <c r="G13" s="8">
        <f>SUMIF(Deducoes!D$4:D$25, F13, Deducoes!F$4:F$25)</f>
        <v/>
      </c>
      <c r="H13" s="9">
        <f>IF($E$5&gt;0, G13/$E$5, 0)</f>
        <v/>
      </c>
    </row>
    <row r="14">
      <c r="F14" s="7" t="inlineStr">
        <is>
          <t>Dependentes</t>
        </is>
      </c>
      <c r="G14" s="8">
        <f>SUMIF(Deducoes!D$4:D$25, F14, Deducoes!F$4:F$25)</f>
        <v/>
      </c>
      <c r="H14" s="9">
        <f>IF($E$5&gt;0, G14/$E$5, 0)</f>
        <v/>
      </c>
    </row>
    <row r="15">
      <c r="B15" s="10" t="inlineStr">
        <is>
          <t>EVOLUÇÃO PATRIMONIAL (BENS E DIREITOS)</t>
        </is>
      </c>
      <c r="F15" s="10" t="inlineStr">
        <is>
          <t>INSTRUÇÕES DE USO</t>
        </is>
      </c>
    </row>
    <row r="16">
      <c r="B16" s="7" t="inlineStr">
        <is>
          <t>Patrimônio Total em 31/12/2024</t>
        </is>
      </c>
      <c r="C16" s="11">
        <f>SUM(Bens_e_Direitos!D4:D25)</f>
        <v/>
      </c>
      <c r="F16" s="12" t="inlineStr">
        <is>
          <t>1. Alterne entre as abas na barra inferior para preencher seus dados.</t>
        </is>
      </c>
    </row>
    <row r="17">
      <c r="B17" s="7" t="inlineStr">
        <is>
          <t>Patrimônio Total em 31/12/2025</t>
        </is>
      </c>
      <c r="C17" s="11">
        <f>SUM(Bens_e_Direitos!E4:E25)</f>
        <v/>
      </c>
      <c r="F17" s="12" t="inlineStr">
        <is>
          <t>2. Utilize as listas suspensas (Validação de Dados) para selecionar os tipos.</t>
        </is>
      </c>
    </row>
    <row r="18">
      <c r="B18" s="13" t="inlineStr">
        <is>
          <t>Variação Patrimonial</t>
        </is>
      </c>
      <c r="C18" s="11">
        <f>C17-C16</f>
        <v/>
      </c>
      <c r="F18" s="12" t="inlineStr">
        <is>
          <t>3. Todos os valores no Dashboard são atualizados automaticamente via fórmulas.</t>
        </is>
      </c>
    </row>
    <row r="19">
      <c r="F19" s="12" t="inlineStr">
        <is>
          <t>4. Compatível 100% com o Microsoft Excel Online.</t>
        </is>
      </c>
    </row>
  </sheetData>
  <mergeCells count="10">
    <mergeCell ref="E4:F4"/>
    <mergeCell ref="B5:C5"/>
    <mergeCell ref="B8:D8"/>
    <mergeCell ref="E5:F5"/>
    <mergeCell ref="F8:H8"/>
    <mergeCell ref="H5:I5"/>
    <mergeCell ref="F15:I15"/>
    <mergeCell ref="H4:I4"/>
    <mergeCell ref="B15:D1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2" customWidth="1" min="3" max="3"/>
    <col width="56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CONTROLE DE RENDIMENTOS - IMPOSTO DE RENDA</t>
        </is>
      </c>
    </row>
    <row r="2"/>
    <row r="3">
      <c r="A3" s="3" t="inlineStr">
        <is>
          <t>ID</t>
        </is>
      </c>
      <c r="B3" s="3" t="inlineStr">
        <is>
          <t>Fonte Pagadora / Empresa</t>
        </is>
      </c>
      <c r="C3" s="3" t="inlineStr">
        <is>
          <t>CNPJ / CPF</t>
        </is>
      </c>
      <c r="D3" s="3" t="inlineStr">
        <is>
          <t>Tipo de Rendimento</t>
        </is>
      </c>
      <c r="E3" s="3" t="inlineStr">
        <is>
          <t>Valor Bruto (R$)</t>
        </is>
      </c>
      <c r="F3" s="3" t="inlineStr">
        <is>
          <t>IRRF Retido (R$)</t>
        </is>
      </c>
      <c r="G3" s="3" t="inlineStr">
        <is>
          <t>Status Documento</t>
        </is>
      </c>
    </row>
    <row r="4">
      <c r="A4" s="14" t="n">
        <v>1</v>
      </c>
      <c r="B4" s="7" t="inlineStr">
        <is>
          <t>Empresa Tech LTDA</t>
        </is>
      </c>
      <c r="C4" s="14" t="inlineStr">
        <is>
          <t>12.345.678/0001-90</t>
        </is>
      </c>
      <c r="D4" s="7" t="inlineStr">
        <is>
          <t>Rendimento Tributável (Salário, Pro-labore, Aluguel)</t>
        </is>
      </c>
      <c r="E4" s="8" t="n">
        <v>85000</v>
      </c>
      <c r="F4" s="8" t="n">
        <v>11200</v>
      </c>
      <c r="G4" s="14" t="inlineStr">
        <is>
          <t>Comprovado</t>
        </is>
      </c>
    </row>
    <row r="5">
      <c r="A5" s="14" t="n">
        <v>2</v>
      </c>
      <c r="B5" s="7" t="inlineStr">
        <is>
          <t>Banco de Investimentos SA</t>
        </is>
      </c>
      <c r="C5" s="14" t="inlineStr">
        <is>
          <t>98.765.432/0001-10</t>
        </is>
      </c>
      <c r="D5" s="7" t="inlineStr">
        <is>
          <t>Tributação Exclusiva / Definitiva (13º Salário, PLR, Rend. Aplicações)</t>
        </is>
      </c>
      <c r="E5" s="8" t="n">
        <v>7500</v>
      </c>
      <c r="F5" s="8" t="n">
        <v>1125</v>
      </c>
      <c r="G5" s="14" t="inlineStr">
        <is>
          <t>Comprovado</t>
        </is>
      </c>
    </row>
    <row r="6">
      <c r="A6" s="14" t="n">
        <v>3</v>
      </c>
      <c r="B6" s="7" t="inlineStr">
        <is>
          <t>Consultoria Silva</t>
        </is>
      </c>
      <c r="C6" s="14" t="inlineStr">
        <is>
          <t>11.222.333/0001-44</t>
        </is>
      </c>
      <c r="D6" s="7" t="inlineStr">
        <is>
          <t>Rendimento Isento / Não Tributável (Lucros, Dividendos, Poupança)</t>
        </is>
      </c>
      <c r="E6" s="8" t="n">
        <v>15000</v>
      </c>
      <c r="F6" s="8" t="n">
        <v>0</v>
      </c>
      <c r="G6" s="14" t="inlineStr">
        <is>
          <t>Pendente</t>
        </is>
      </c>
    </row>
    <row r="7">
      <c r="A7" s="15" t="n">
        <v>4</v>
      </c>
      <c r="B7" s="16" t="n"/>
      <c r="C7" s="16" t="n"/>
      <c r="D7" s="16" t="n"/>
      <c r="E7" s="17" t="n"/>
      <c r="F7" s="17" t="n"/>
      <c r="G7" s="16" t="n"/>
    </row>
    <row r="8">
      <c r="A8" s="15" t="n">
        <v>5</v>
      </c>
      <c r="B8" s="16" t="n"/>
      <c r="C8" s="16" t="n"/>
      <c r="D8" s="16" t="n"/>
      <c r="E8" s="17" t="n"/>
      <c r="F8" s="17" t="n"/>
      <c r="G8" s="16" t="n"/>
    </row>
    <row r="9">
      <c r="A9" s="15" t="n">
        <v>6</v>
      </c>
      <c r="B9" s="16" t="n"/>
      <c r="C9" s="16" t="n"/>
      <c r="D9" s="16" t="n"/>
      <c r="E9" s="17" t="n"/>
      <c r="F9" s="17" t="n"/>
      <c r="G9" s="16" t="n"/>
    </row>
    <row r="10">
      <c r="A10" s="15" t="n">
        <v>7</v>
      </c>
      <c r="B10" s="16" t="n"/>
      <c r="C10" s="16" t="n"/>
      <c r="D10" s="16" t="n"/>
      <c r="E10" s="17" t="n"/>
      <c r="F10" s="17" t="n"/>
      <c r="G10" s="16" t="n"/>
    </row>
    <row r="11">
      <c r="A11" s="15" t="n">
        <v>8</v>
      </c>
      <c r="B11" s="16" t="n"/>
      <c r="C11" s="16" t="n"/>
      <c r="D11" s="16" t="n"/>
      <c r="E11" s="17" t="n"/>
      <c r="F11" s="17" t="n"/>
      <c r="G11" s="16" t="n"/>
    </row>
    <row r="12">
      <c r="A12" s="15" t="n">
        <v>9</v>
      </c>
      <c r="B12" s="16" t="n"/>
      <c r="C12" s="16" t="n"/>
      <c r="D12" s="16" t="n"/>
      <c r="E12" s="17" t="n"/>
      <c r="F12" s="17" t="n"/>
      <c r="G12" s="16" t="n"/>
    </row>
    <row r="13">
      <c r="A13" s="15" t="n">
        <v>10</v>
      </c>
      <c r="B13" s="16" t="n"/>
      <c r="C13" s="16" t="n"/>
      <c r="D13" s="16" t="n"/>
      <c r="E13" s="17" t="n"/>
      <c r="F13" s="17" t="n"/>
      <c r="G13" s="16" t="n"/>
    </row>
    <row r="14">
      <c r="A14" s="15" t="n">
        <v>11</v>
      </c>
      <c r="B14" s="16" t="n"/>
      <c r="C14" s="16" t="n"/>
      <c r="D14" s="16" t="n"/>
      <c r="E14" s="17" t="n"/>
      <c r="F14" s="17" t="n"/>
      <c r="G14" s="16" t="n"/>
    </row>
    <row r="15">
      <c r="A15" s="15" t="n">
        <v>12</v>
      </c>
      <c r="B15" s="16" t="n"/>
      <c r="C15" s="16" t="n"/>
      <c r="D15" s="16" t="n"/>
      <c r="E15" s="17" t="n"/>
      <c r="F15" s="17" t="n"/>
      <c r="G15" s="16" t="n"/>
    </row>
    <row r="16">
      <c r="A16" s="15" t="n">
        <v>13</v>
      </c>
      <c r="B16" s="16" t="n"/>
      <c r="C16" s="16" t="n"/>
      <c r="D16" s="16" t="n"/>
      <c r="E16" s="17" t="n"/>
      <c r="F16" s="17" t="n"/>
      <c r="G16" s="16" t="n"/>
    </row>
    <row r="17">
      <c r="A17" s="15" t="n">
        <v>14</v>
      </c>
      <c r="B17" s="16" t="n"/>
      <c r="C17" s="16" t="n"/>
      <c r="D17" s="16" t="n"/>
      <c r="E17" s="17" t="n"/>
      <c r="F17" s="17" t="n"/>
      <c r="G17" s="16" t="n"/>
    </row>
    <row r="18">
      <c r="A18" s="15" t="n">
        <v>15</v>
      </c>
      <c r="B18" s="16" t="n"/>
      <c r="C18" s="16" t="n"/>
      <c r="D18" s="16" t="n"/>
      <c r="E18" s="17" t="n"/>
      <c r="F18" s="17" t="n"/>
      <c r="G18" s="16" t="n"/>
    </row>
    <row r="19">
      <c r="A19" s="15" t="n">
        <v>16</v>
      </c>
      <c r="B19" s="16" t="n"/>
      <c r="C19" s="16" t="n"/>
      <c r="D19" s="16" t="n"/>
      <c r="E19" s="17" t="n"/>
      <c r="F19" s="17" t="n"/>
      <c r="G19" s="16" t="n"/>
    </row>
    <row r="20">
      <c r="A20" s="15" t="n">
        <v>17</v>
      </c>
      <c r="B20" s="16" t="n"/>
      <c r="C20" s="16" t="n"/>
      <c r="D20" s="16" t="n"/>
      <c r="E20" s="17" t="n"/>
      <c r="F20" s="17" t="n"/>
      <c r="G20" s="16" t="n"/>
    </row>
    <row r="21">
      <c r="A21" s="15" t="n">
        <v>18</v>
      </c>
      <c r="B21" s="16" t="n"/>
      <c r="C21" s="16" t="n"/>
      <c r="D21" s="16" t="n"/>
      <c r="E21" s="17" t="n"/>
      <c r="F21" s="17" t="n"/>
      <c r="G21" s="16" t="n"/>
    </row>
    <row r="22">
      <c r="A22" s="15" t="n">
        <v>19</v>
      </c>
      <c r="B22" s="16" t="n"/>
      <c r="C22" s="16" t="n"/>
      <c r="D22" s="16" t="n"/>
      <c r="E22" s="17" t="n"/>
      <c r="F22" s="17" t="n"/>
      <c r="G22" s="16" t="n"/>
    </row>
    <row r="23">
      <c r="A23" s="15" t="n">
        <v>20</v>
      </c>
      <c r="B23" s="16" t="n"/>
      <c r="C23" s="16" t="n"/>
      <c r="D23" s="16" t="n"/>
      <c r="E23" s="17" t="n"/>
      <c r="F23" s="17" t="n"/>
      <c r="G23" s="16" t="n"/>
    </row>
    <row r="24">
      <c r="A24" s="15" t="n">
        <v>21</v>
      </c>
      <c r="B24" s="16" t="n"/>
      <c r="C24" s="16" t="n"/>
      <c r="D24" s="16" t="n"/>
      <c r="E24" s="17" t="n"/>
      <c r="F24" s="17" t="n"/>
      <c r="G24" s="16" t="n"/>
    </row>
  </sheetData>
  <dataValidations count="2">
    <dataValidation sqref="D4:D25" showDropDown="0" showInputMessage="0" showErrorMessage="0" allowBlank="1" type="list">
      <formula1>Categorias_Apoio!$A$2:$A$4</formula1>
    </dataValidation>
    <dataValidation sqref="G4:G25" showDropDown="0" showInputMessage="0" showErrorMessage="0" allowBlank="1" type="list">
      <formula1>"Comprovado,Pendente,Em Análise"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22" customWidth="1" min="3" max="3"/>
    <col width="30" customWidth="1" min="4" max="4"/>
    <col width="30" customWidth="1" min="5" max="5"/>
    <col width="25" customWidth="1" min="6" max="6"/>
    <col width="17" customWidth="1" min="7" max="7"/>
  </cols>
  <sheetData>
    <row r="1">
      <c r="A1" s="1" t="inlineStr">
        <is>
          <t>CONTROLE DE DEDUÇÕES E DESPESAS DEDUTÍVEIS</t>
        </is>
      </c>
    </row>
    <row r="2"/>
    <row r="3">
      <c r="A3" s="3" t="inlineStr">
        <is>
          <t>ID</t>
        </is>
      </c>
      <c r="B3" s="3" t="inlineStr">
        <is>
          <t>Prestador / Beneficiário</t>
        </is>
      </c>
      <c r="C3" s="3" t="inlineStr">
        <is>
          <t>CPF / CNPJ</t>
        </is>
      </c>
      <c r="D3" s="3" t="inlineStr">
        <is>
          <t>Categoria da Despesa</t>
        </is>
      </c>
      <c r="E3" s="3" t="inlineStr">
        <is>
          <t>Descrição / Observação</t>
        </is>
      </c>
      <c r="F3" s="3" t="inlineStr">
        <is>
          <t>Valor Comprovado (R$)</t>
        </is>
      </c>
      <c r="G3" s="3" t="inlineStr">
        <is>
          <t>Status Recibo</t>
        </is>
      </c>
    </row>
    <row r="4">
      <c r="A4" s="14" t="n">
        <v>1</v>
      </c>
      <c r="B4" s="7" t="inlineStr">
        <is>
          <t>Clínica Médica Saúde Total</t>
        </is>
      </c>
      <c r="C4" s="14" t="inlineStr">
        <is>
          <t>00.111.222/0001-33</t>
        </is>
      </c>
      <c r="D4" s="7" t="inlineStr">
        <is>
          <t>Despesas Médicas</t>
        </is>
      </c>
      <c r="E4" s="7" t="inlineStr">
        <is>
          <t>Consulta e Exames</t>
        </is>
      </c>
      <c r="F4" s="8" t="n">
        <v>3200</v>
      </c>
      <c r="G4" s="14" t="inlineStr">
        <is>
          <t>Comprovado</t>
        </is>
      </c>
    </row>
    <row r="5">
      <c r="A5" s="14" t="n">
        <v>2</v>
      </c>
      <c r="B5" s="7" t="inlineStr">
        <is>
          <t>Faculdade / Escola Exemplo</t>
        </is>
      </c>
      <c r="C5" s="14" t="inlineStr">
        <is>
          <t>33.444.555/0001-66</t>
        </is>
      </c>
      <c r="D5" s="7" t="inlineStr">
        <is>
          <t>Instrução / Educação</t>
        </is>
      </c>
      <c r="E5" s="7" t="inlineStr">
        <is>
          <t>Mensalidades Pós-Graduação</t>
        </is>
      </c>
      <c r="F5" s="8" t="n">
        <v>2400</v>
      </c>
      <c r="G5" s="14" t="inlineStr">
        <is>
          <t>Comprovado</t>
        </is>
      </c>
    </row>
    <row r="6">
      <c r="A6" s="14" t="n">
        <v>3</v>
      </c>
      <c r="B6" s="7" t="inlineStr">
        <is>
          <t>Bradesco Vida e Previdência</t>
        </is>
      </c>
      <c r="C6" s="14" t="inlineStr">
        <is>
          <t>66.777.888/0001-99</t>
        </is>
      </c>
      <c r="D6" s="7" t="inlineStr">
        <is>
          <t>Previdência Privada (PGBL)</t>
        </is>
      </c>
      <c r="E6" s="7" t="inlineStr">
        <is>
          <t>Aporte PGBL</t>
        </is>
      </c>
      <c r="F6" s="8" t="n">
        <v>5000</v>
      </c>
      <c r="G6" s="14" t="inlineStr">
        <is>
          <t>Comprovado</t>
        </is>
      </c>
    </row>
    <row r="7">
      <c r="A7" s="15" t="n">
        <v>4</v>
      </c>
      <c r="B7" s="16" t="n"/>
      <c r="C7" s="16" t="n"/>
      <c r="D7" s="16" t="n"/>
      <c r="E7" s="16" t="n"/>
      <c r="F7" s="17" t="n"/>
      <c r="G7" s="16" t="n"/>
    </row>
    <row r="8">
      <c r="A8" s="15" t="n">
        <v>5</v>
      </c>
      <c r="B8" s="16" t="n"/>
      <c r="C8" s="16" t="n"/>
      <c r="D8" s="16" t="n"/>
      <c r="E8" s="16" t="n"/>
      <c r="F8" s="17" t="n"/>
      <c r="G8" s="16" t="n"/>
    </row>
    <row r="9">
      <c r="A9" s="15" t="n">
        <v>6</v>
      </c>
      <c r="B9" s="16" t="n"/>
      <c r="C9" s="16" t="n"/>
      <c r="D9" s="16" t="n"/>
      <c r="E9" s="16" t="n"/>
      <c r="F9" s="17" t="n"/>
      <c r="G9" s="16" t="n"/>
    </row>
    <row r="10">
      <c r="A10" s="15" t="n">
        <v>7</v>
      </c>
      <c r="B10" s="16" t="n"/>
      <c r="C10" s="16" t="n"/>
      <c r="D10" s="16" t="n"/>
      <c r="E10" s="16" t="n"/>
      <c r="F10" s="17" t="n"/>
      <c r="G10" s="16" t="n"/>
    </row>
    <row r="11">
      <c r="A11" s="15" t="n">
        <v>8</v>
      </c>
      <c r="B11" s="16" t="n"/>
      <c r="C11" s="16" t="n"/>
      <c r="D11" s="16" t="n"/>
      <c r="E11" s="16" t="n"/>
      <c r="F11" s="17" t="n"/>
      <c r="G11" s="16" t="n"/>
    </row>
    <row r="12">
      <c r="A12" s="15" t="n">
        <v>9</v>
      </c>
      <c r="B12" s="16" t="n"/>
      <c r="C12" s="16" t="n"/>
      <c r="D12" s="16" t="n"/>
      <c r="E12" s="16" t="n"/>
      <c r="F12" s="17" t="n"/>
      <c r="G12" s="16" t="n"/>
    </row>
    <row r="13">
      <c r="A13" s="15" t="n">
        <v>10</v>
      </c>
      <c r="B13" s="16" t="n"/>
      <c r="C13" s="16" t="n"/>
      <c r="D13" s="16" t="n"/>
      <c r="E13" s="16" t="n"/>
      <c r="F13" s="17" t="n"/>
      <c r="G13" s="16" t="n"/>
    </row>
    <row r="14">
      <c r="A14" s="15" t="n">
        <v>11</v>
      </c>
      <c r="B14" s="16" t="n"/>
      <c r="C14" s="16" t="n"/>
      <c r="D14" s="16" t="n"/>
      <c r="E14" s="16" t="n"/>
      <c r="F14" s="17" t="n"/>
      <c r="G14" s="16" t="n"/>
    </row>
    <row r="15">
      <c r="A15" s="15" t="n">
        <v>12</v>
      </c>
      <c r="B15" s="16" t="n"/>
      <c r="C15" s="16" t="n"/>
      <c r="D15" s="16" t="n"/>
      <c r="E15" s="16" t="n"/>
      <c r="F15" s="17" t="n"/>
      <c r="G15" s="16" t="n"/>
    </row>
    <row r="16">
      <c r="A16" s="15" t="n">
        <v>13</v>
      </c>
      <c r="B16" s="16" t="n"/>
      <c r="C16" s="16" t="n"/>
      <c r="D16" s="16" t="n"/>
      <c r="E16" s="16" t="n"/>
      <c r="F16" s="17" t="n"/>
      <c r="G16" s="16" t="n"/>
    </row>
    <row r="17">
      <c r="A17" s="15" t="n">
        <v>14</v>
      </c>
      <c r="B17" s="16" t="n"/>
      <c r="C17" s="16" t="n"/>
      <c r="D17" s="16" t="n"/>
      <c r="E17" s="16" t="n"/>
      <c r="F17" s="17" t="n"/>
      <c r="G17" s="16" t="n"/>
    </row>
    <row r="18">
      <c r="A18" s="15" t="n">
        <v>15</v>
      </c>
      <c r="B18" s="16" t="n"/>
      <c r="C18" s="16" t="n"/>
      <c r="D18" s="16" t="n"/>
      <c r="E18" s="16" t="n"/>
      <c r="F18" s="17" t="n"/>
      <c r="G18" s="16" t="n"/>
    </row>
    <row r="19">
      <c r="A19" s="15" t="n">
        <v>16</v>
      </c>
      <c r="B19" s="16" t="n"/>
      <c r="C19" s="16" t="n"/>
      <c r="D19" s="16" t="n"/>
      <c r="E19" s="16" t="n"/>
      <c r="F19" s="17" t="n"/>
      <c r="G19" s="16" t="n"/>
    </row>
    <row r="20">
      <c r="A20" s="15" t="n">
        <v>17</v>
      </c>
      <c r="B20" s="16" t="n"/>
      <c r="C20" s="16" t="n"/>
      <c r="D20" s="16" t="n"/>
      <c r="E20" s="16" t="n"/>
      <c r="F20" s="17" t="n"/>
      <c r="G20" s="16" t="n"/>
    </row>
    <row r="21">
      <c r="A21" s="15" t="n">
        <v>18</v>
      </c>
      <c r="B21" s="16" t="n"/>
      <c r="C21" s="16" t="n"/>
      <c r="D21" s="16" t="n"/>
      <c r="E21" s="16" t="n"/>
      <c r="F21" s="17" t="n"/>
      <c r="G21" s="16" t="n"/>
    </row>
    <row r="22">
      <c r="A22" s="15" t="n">
        <v>19</v>
      </c>
      <c r="B22" s="16" t="n"/>
      <c r="C22" s="16" t="n"/>
      <c r="D22" s="16" t="n"/>
      <c r="E22" s="16" t="n"/>
      <c r="F22" s="17" t="n"/>
      <c r="G22" s="16" t="n"/>
    </row>
    <row r="23">
      <c r="A23" s="15" t="n">
        <v>20</v>
      </c>
      <c r="B23" s="16" t="n"/>
      <c r="C23" s="16" t="n"/>
      <c r="D23" s="16" t="n"/>
      <c r="E23" s="16" t="n"/>
      <c r="F23" s="17" t="n"/>
      <c r="G23" s="16" t="n"/>
    </row>
    <row r="24">
      <c r="A24" s="15" t="n">
        <v>21</v>
      </c>
      <c r="B24" s="16" t="n"/>
      <c r="C24" s="16" t="n"/>
      <c r="D24" s="16" t="n"/>
      <c r="E24" s="16" t="n"/>
      <c r="F24" s="17" t="n"/>
      <c r="G24" s="16" t="n"/>
    </row>
  </sheetData>
  <dataValidations count="2">
    <dataValidation sqref="D4:D25" showDropDown="0" showInputMessage="0" showErrorMessage="0" allowBlank="1" type="list">
      <formula1>Categorias_Apoio!$B$2:$B$6</formula1>
    </dataValidation>
    <dataValidation sqref="G4:G25" showDropDown="0" showInputMessage="0" showErrorMessage="0" allowBlank="1" type="list">
      <formula1>"Comprovado,Pendente,Em Análise"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58" customWidth="1" min="3" max="3"/>
    <col width="31" customWidth="1" min="4" max="4"/>
    <col width="31" customWidth="1" min="5" max="5"/>
  </cols>
  <sheetData>
    <row r="1">
      <c r="A1" s="1" t="inlineStr">
        <is>
          <t>DECLARAÇÃO DE BENS E DIREITOS</t>
        </is>
      </c>
    </row>
    <row r="2"/>
    <row r="3">
      <c r="A3" s="3" t="inlineStr">
        <is>
          <t>ID</t>
        </is>
      </c>
      <c r="B3" s="3" t="inlineStr">
        <is>
          <t>Grupo / Categoria</t>
        </is>
      </c>
      <c r="C3" s="3" t="inlineStr">
        <is>
          <t>Discriminação / Descrição do Bem</t>
        </is>
      </c>
      <c r="D3" s="3" t="inlineStr">
        <is>
          <t>Situação em 31/12/2024 (R$)</t>
        </is>
      </c>
      <c r="E3" s="3" t="inlineStr">
        <is>
          <t>Situação em 31/12/2025 (R$)</t>
        </is>
      </c>
    </row>
    <row r="4">
      <c r="A4" s="14" t="n">
        <v>1</v>
      </c>
      <c r="B4" s="7" t="inlineStr">
        <is>
          <t>Imóveis (Casa, Ap., Terreno)</t>
        </is>
      </c>
      <c r="C4" s="7" t="inlineStr">
        <is>
          <t>Apartamento Residencial em SP - 70m2 - Matrícula 12345</t>
        </is>
      </c>
      <c r="D4" s="8" t="n">
        <v>350000</v>
      </c>
      <c r="E4" s="8" t="n">
        <v>350000</v>
      </c>
    </row>
    <row r="5">
      <c r="A5" s="14" t="n">
        <v>2</v>
      </c>
      <c r="B5" s="7" t="inlineStr">
        <is>
          <t>Veículos Automotores</t>
        </is>
      </c>
      <c r="C5" s="7" t="inlineStr">
        <is>
          <t>Automóvel Sedan 2.0 Flex Ano 2022 - Placa ABC1D23</t>
        </is>
      </c>
      <c r="D5" s="8" t="n">
        <v>85000</v>
      </c>
      <c r="E5" s="8" t="n">
        <v>80000</v>
      </c>
    </row>
    <row r="6">
      <c r="A6" s="14" t="n">
        <v>3</v>
      </c>
      <c r="B6" s="7" t="inlineStr">
        <is>
          <t>Aplicações Financeiras / Renda Fixa</t>
        </is>
      </c>
      <c r="C6" s="7" t="inlineStr">
        <is>
          <t>CDB Banco YZ - 100% CDI</t>
        </is>
      </c>
      <c r="D6" s="8" t="n">
        <v>25000</v>
      </c>
      <c r="E6" s="8" t="n">
        <v>32000</v>
      </c>
    </row>
    <row r="7">
      <c r="A7" s="15" t="n">
        <v>4</v>
      </c>
      <c r="B7" s="16" t="n"/>
      <c r="C7" s="16" t="n"/>
      <c r="D7" s="17" t="n"/>
      <c r="E7" s="17" t="n"/>
    </row>
    <row r="8">
      <c r="A8" s="15" t="n">
        <v>5</v>
      </c>
      <c r="B8" s="16" t="n"/>
      <c r="C8" s="16" t="n"/>
      <c r="D8" s="17" t="n"/>
      <c r="E8" s="17" t="n"/>
    </row>
    <row r="9">
      <c r="A9" s="15" t="n">
        <v>6</v>
      </c>
      <c r="B9" s="16" t="n"/>
      <c r="C9" s="16" t="n"/>
      <c r="D9" s="17" t="n"/>
      <c r="E9" s="17" t="n"/>
    </row>
    <row r="10">
      <c r="A10" s="15" t="n">
        <v>7</v>
      </c>
      <c r="B10" s="16" t="n"/>
      <c r="C10" s="16" t="n"/>
      <c r="D10" s="17" t="n"/>
      <c r="E10" s="17" t="n"/>
    </row>
    <row r="11">
      <c r="A11" s="15" t="n">
        <v>8</v>
      </c>
      <c r="B11" s="16" t="n"/>
      <c r="C11" s="16" t="n"/>
      <c r="D11" s="17" t="n"/>
      <c r="E11" s="17" t="n"/>
    </row>
    <row r="12">
      <c r="A12" s="15" t="n">
        <v>9</v>
      </c>
      <c r="B12" s="16" t="n"/>
      <c r="C12" s="16" t="n"/>
      <c r="D12" s="17" t="n"/>
      <c r="E12" s="17" t="n"/>
    </row>
    <row r="13">
      <c r="A13" s="15" t="n">
        <v>10</v>
      </c>
      <c r="B13" s="16" t="n"/>
      <c r="C13" s="16" t="n"/>
      <c r="D13" s="17" t="n"/>
      <c r="E13" s="17" t="n"/>
    </row>
    <row r="14">
      <c r="A14" s="15" t="n">
        <v>11</v>
      </c>
      <c r="B14" s="16" t="n"/>
      <c r="C14" s="16" t="n"/>
      <c r="D14" s="17" t="n"/>
      <c r="E14" s="17" t="n"/>
    </row>
    <row r="15">
      <c r="A15" s="15" t="n">
        <v>12</v>
      </c>
      <c r="B15" s="16" t="n"/>
      <c r="C15" s="16" t="n"/>
      <c r="D15" s="17" t="n"/>
      <c r="E15" s="17" t="n"/>
    </row>
    <row r="16">
      <c r="A16" s="15" t="n">
        <v>13</v>
      </c>
      <c r="B16" s="16" t="n"/>
      <c r="C16" s="16" t="n"/>
      <c r="D16" s="17" t="n"/>
      <c r="E16" s="17" t="n"/>
    </row>
    <row r="17">
      <c r="A17" s="15" t="n">
        <v>14</v>
      </c>
      <c r="B17" s="16" t="n"/>
      <c r="C17" s="16" t="n"/>
      <c r="D17" s="17" t="n"/>
      <c r="E17" s="17" t="n"/>
    </row>
    <row r="18">
      <c r="A18" s="15" t="n">
        <v>15</v>
      </c>
      <c r="B18" s="16" t="n"/>
      <c r="C18" s="16" t="n"/>
      <c r="D18" s="17" t="n"/>
      <c r="E18" s="17" t="n"/>
    </row>
    <row r="19">
      <c r="A19" s="15" t="n">
        <v>16</v>
      </c>
      <c r="B19" s="16" t="n"/>
      <c r="C19" s="16" t="n"/>
      <c r="D19" s="17" t="n"/>
      <c r="E19" s="17" t="n"/>
    </row>
    <row r="20">
      <c r="A20" s="15" t="n">
        <v>17</v>
      </c>
      <c r="B20" s="16" t="n"/>
      <c r="C20" s="16" t="n"/>
      <c r="D20" s="17" t="n"/>
      <c r="E20" s="17" t="n"/>
    </row>
    <row r="21">
      <c r="A21" s="15" t="n">
        <v>18</v>
      </c>
      <c r="B21" s="16" t="n"/>
      <c r="C21" s="16" t="n"/>
      <c r="D21" s="17" t="n"/>
      <c r="E21" s="17" t="n"/>
    </row>
    <row r="22">
      <c r="A22" s="15" t="n">
        <v>19</v>
      </c>
      <c r="B22" s="16" t="n"/>
      <c r="C22" s="16" t="n"/>
      <c r="D22" s="17" t="n"/>
      <c r="E22" s="17" t="n"/>
    </row>
    <row r="23">
      <c r="A23" s="15" t="n">
        <v>20</v>
      </c>
      <c r="B23" s="16" t="n"/>
      <c r="C23" s="16" t="n"/>
      <c r="D23" s="17" t="n"/>
      <c r="E23" s="17" t="n"/>
    </row>
    <row r="24">
      <c r="A24" s="15" t="n">
        <v>21</v>
      </c>
      <c r="B24" s="16" t="n"/>
      <c r="C24" s="16" t="n"/>
      <c r="D24" s="17" t="n"/>
      <c r="E24" s="17" t="n"/>
    </row>
  </sheetData>
  <dataValidations count="1">
    <dataValidation sqref="B4:B25" showDropDown="0" showInputMessage="0" showErrorMessage="0" allowBlank="1" type="list">
      <formula1>Categorias_Apoio!$C$2:$C$6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31" customWidth="1" min="2" max="2"/>
    <col width="39" customWidth="1" min="3" max="3"/>
  </cols>
  <sheetData>
    <row r="1">
      <c r="A1" s="10" t="inlineStr">
        <is>
          <t>Tipo Rendimento</t>
        </is>
      </c>
      <c r="B1" s="10" t="inlineStr">
        <is>
          <t>Tipo Dedução</t>
        </is>
      </c>
      <c r="C1" s="10" t="inlineStr">
        <is>
          <t>Tipo Bem</t>
        </is>
      </c>
    </row>
    <row r="2">
      <c r="A2" t="inlineStr">
        <is>
          <t>Rendimento Tributável (Salário, Pro-labore, Aluguel)</t>
        </is>
      </c>
      <c r="B2" t="inlineStr">
        <is>
          <t>Despesas Médicas</t>
        </is>
      </c>
      <c r="C2" t="inlineStr">
        <is>
          <t>Imóveis (Casa, Ap., Terreno)</t>
        </is>
      </c>
    </row>
    <row r="3">
      <c r="A3" t="inlineStr">
        <is>
          <t>Rendimento Isento / Não Tributável (Lucros, Dividendos, Poupança)</t>
        </is>
      </c>
      <c r="B3" t="inlineStr">
        <is>
          <t>Instrução / Educação</t>
        </is>
      </c>
      <c r="C3" t="inlineStr">
        <is>
          <t>Veículos Automotores</t>
        </is>
      </c>
    </row>
    <row r="4">
      <c r="A4" t="inlineStr">
        <is>
          <t>Tributação Exclusiva / Definitiva (13º Salário, PLR, Rend. Aplicações)</t>
        </is>
      </c>
      <c r="B4" t="inlineStr">
        <is>
          <t>Previdência Privada (PGBL)</t>
        </is>
      </c>
      <c r="C4" t="inlineStr">
        <is>
          <t>Aplicações Financeiras / Renda Fixa</t>
        </is>
      </c>
    </row>
    <row r="5">
      <c r="B5" t="inlineStr">
        <is>
          <t>Pensão Alimentícia Judicial</t>
        </is>
      </c>
      <c r="C5" t="inlineStr">
        <is>
          <t>Ações / Criptoativos</t>
        </is>
      </c>
    </row>
    <row r="6">
      <c r="B6" t="inlineStr">
        <is>
          <t>Dependentes</t>
        </is>
      </c>
      <c r="C6" t="inlineStr">
        <is>
          <t>Saldos em Conta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2026-10-13T19:35:51Z</dcterms:created>
  <dcterms:modified xmlns:dcterms="http://purl.org/dc/terms/" xmlns:xsi="http://www.w3.org/2001/XMLSchema-instance" xsi:type="dcterms:W3CDTF">2026-10-13T19:35:51Z</dcterms:modified>
</cp:coreProperties>
</file>